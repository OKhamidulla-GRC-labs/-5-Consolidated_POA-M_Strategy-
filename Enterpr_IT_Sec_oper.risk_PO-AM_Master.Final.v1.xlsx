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f4021eb499a965/Documents/"/>
    </mc:Choice>
  </mc:AlternateContent>
  <xr:revisionPtr revIDLastSave="195" documentId="8_{4B30C690-7AB9-4178-B274-554F93F4F42E}" xr6:coauthVersionLast="47" xr6:coauthVersionMax="47" xr10:uidLastSave="{4BC57BFA-5D3C-4751-9A0B-0801E6B6757C}"/>
  <bookViews>
    <workbookView xWindow="-108" yWindow="-108" windowWidth="23256" windowHeight="12456" xr2:uid="{00000000-000D-0000-FFFF-FFFF00000000}"/>
  </bookViews>
  <sheets>
    <sheet name="Consolidated POA&amp;M" sheetId="1" r:id="rId1"/>
    <sheet name="Target  Time Frame 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<sst xmlns="http://schemas.openxmlformats.org/spreadsheetml/2006/main" count="276" uniqueCount="228">
  <si>
    <t>ID</t>
  </si>
  <si>
    <t>Category</t>
  </si>
  <si>
    <t>Scenario / Weakness Description</t>
  </si>
  <si>
    <t>Technical Root Cause</t>
  </si>
  <si>
    <t>Business Impact</t>
  </si>
  <si>
    <t>Action Plan</t>
  </si>
  <si>
    <t>Regulatory Mapping</t>
  </si>
  <si>
    <t>POC</t>
  </si>
  <si>
    <t>Risk</t>
  </si>
  <si>
    <t>Status</t>
  </si>
  <si>
    <t>W-2026-001</t>
  </si>
  <si>
    <t>Endpoint Security</t>
  </si>
  <si>
    <t>22 laptops in the Finance Dept are 3 months behind on cumulative security updates; automated patching is failing due to disk space exhaustion.</t>
  </si>
  <si>
    <t>High risk of exploitation via local elevation of privilege; failure to meet Cyber Essentials compliance.</t>
  </si>
  <si>
    <t>Run automated disk cleanup via Intune to clear WinSxS and Temp folders; force patch install during scheduled 8 PM maintenance window.</t>
  </si>
  <si>
    <t>NIST SI-2</t>
  </si>
  <si>
    <t>Desktop Engineering</t>
  </si>
  <si>
    <t>High</t>
  </si>
  <si>
    <t>In Progress</t>
  </si>
  <si>
    <t>W-2026-002</t>
  </si>
  <si>
    <t>Identity Management</t>
  </si>
  <si>
    <t>Legacy ERP system allows 6-character passwords and does not lock out accounts after failed attempts.</t>
  </si>
  <si>
    <t>Application-level authentication module is hardcoded and does not integrate with Azure AD/LDAP complexity policies.</t>
  </si>
  <si>
    <t>Increased vulnerability to brute-force attacks on financial data records.</t>
  </si>
  <si>
    <t>Deploy an LDAP proxy to intercept and enforce password complexity; migrate ERP auth to SAML/SSO by Q4.</t>
  </si>
  <si>
    <t>NIST AC-2</t>
  </si>
  <si>
    <t>App Dev Lead</t>
  </si>
  <si>
    <t>Medium</t>
  </si>
  <si>
    <t>Open</t>
  </si>
  <si>
    <t>W-2026-003</t>
  </si>
  <si>
    <t>Cloud Security</t>
  </si>
  <si>
    <t>30% of global O365 mailboxes still bypass MFA because they are marked as 'Legacy Service Accounts' but are used by human contractors.</t>
  </si>
  <si>
    <t>Misclassification in the User Directory; lack of a Conditional Access policy for external partners.</t>
  </si>
  <si>
    <t>Critical risk of Account Takeover (ATO) leading to Business Email Compromise (BEC).</t>
  </si>
  <si>
    <t>Re-classify accounts; enforce MFA via Azure Conditional Access for all accounts with human login signatures.</t>
  </si>
  <si>
    <t>PCI-DSS 8.3</t>
  </si>
  <si>
    <t>Cloud Admin</t>
  </si>
  <si>
    <t>W-2026-004</t>
  </si>
  <si>
    <t>Business Continuity</t>
  </si>
  <si>
    <t>Production SQL database backups are stored on the same physical SAN as the live database.</t>
  </si>
  <si>
    <t>Improper storage tiering configuration; lack of off-site/off-host replication.</t>
  </si>
  <si>
    <t>Single point of failure; hardware failure or ransomware would result in total data loss.</t>
  </si>
  <si>
    <t>Configure secondary backup stream to AWS S3 Glacier with Object Lock (Immutability); verify recovery time objective (RTO).</t>
  </si>
  <si>
    <t>NIST CP-9</t>
  </si>
  <si>
    <t>Storage Eng.</t>
  </si>
  <si>
    <t>W-2026-005</t>
  </si>
  <si>
    <t>Physical Security</t>
  </si>
  <si>
    <t>Primary server room door latch is worn, allowing it to be pulled open without a badge swipe.</t>
  </si>
  <si>
    <t>Mechanical fatigue of the strike plate; failure of the annual facilities maintenance audit to catch hardware wear.</t>
  </si>
  <si>
    <t>Unauthorized physical entry to the core network switches and compute infrastructure.</t>
  </si>
  <si>
    <t>Replace mechanical strike plate with heavy-duty magnetic lock; install door-contact alarm to notify SOC if door is ajar.</t>
  </si>
  <si>
    <t>NIST PE-3</t>
  </si>
  <si>
    <t>Facilities Mgr</t>
  </si>
  <si>
    <t>W-2026-006</t>
  </si>
  <si>
    <t>Supply Chain</t>
  </si>
  <si>
    <t>CI/CD pipelines pull open-source JavaScript libraries from public NPM without verifying checksums or signatures.</t>
  </si>
  <si>
    <t>Absence of a private artifact repository (like Artifactory) to proxy and scan external dependencies.</t>
  </si>
  <si>
    <t>Vulnerability to 'Dependency Confusion' attacks where malicious code is injected into the build process.</t>
  </si>
  <si>
    <t>Implement Nexus/Artifactory as a gated proxy; mandate SBOM generation for every production build.</t>
  </si>
  <si>
    <t>NIST SR-4</t>
  </si>
  <si>
    <t>DevSecOps</t>
  </si>
  <si>
    <t>Critical</t>
  </si>
  <si>
    <t>Planned</t>
  </si>
  <si>
    <t>W-2026-007</t>
  </si>
  <si>
    <t>Network Security</t>
  </si>
  <si>
    <t>Smart TVs and IoT coffee machines in the breakroom are connected to the main 'Corp-Internal' Wi-Fi.</t>
  </si>
  <si>
    <t>Lack of network segmentation; easy-to-guess PSK (Pre-Shared Key) used for guest and IoT devices.</t>
  </si>
  <si>
    <t>Lateral movement; an attacker could use a compromised TV to sniff traffic on the corporate network.</t>
  </si>
  <si>
    <t>Migrate all IoT devices to a dedicated VLAN with no cross-talk to production subnets; enforce MAC-address filtering.</t>
  </si>
  <si>
    <t>ISO 27001 A.13</t>
  </si>
  <si>
    <t>Network Eng.</t>
  </si>
  <si>
    <t>Not Started</t>
  </si>
  <si>
    <t>W-2026-008</t>
  </si>
  <si>
    <t>API Security</t>
  </si>
  <si>
    <t>The 'Partner-API' lacks rate-limiting, allowing 50,000 requests per minute from a single IP.</t>
  </si>
  <si>
    <t>API Gateway configuration was left on 'Default' bypass mode during the last migration.</t>
  </si>
  <si>
    <t>Denial of Service (DoS) risk and scraping of the entire product catalog by competitors.</t>
  </si>
  <si>
    <t>Apply per-client rate-limiting at the Kong Gateway level; implement geographic blocking for non-operating regions.</t>
  </si>
  <si>
    <t>OWASP API 4</t>
  </si>
  <si>
    <t>API Lead</t>
  </si>
  <si>
    <t>W-2026-009</t>
  </si>
  <si>
    <t>Data Privacy</t>
  </si>
  <si>
    <t>Developer 'Sandbox' databases contain un-masked production customer data (PII).</t>
  </si>
  <si>
    <t>Production-to-Dev refresh script does not include the data-masking module.</t>
  </si>
  <si>
    <t>GDPR breach risk; non-production environments typically have lower security controls.</t>
  </si>
  <si>
    <t>Automate data obfuscation (masking) during the ETL process from Production to Dev; delete existing unmasked dumps.</t>
  </si>
  <si>
    <t>GDPR Art. 32</t>
  </si>
  <si>
    <t>DBA Team</t>
  </si>
  <si>
    <t>W-2026-010</t>
  </si>
  <si>
    <t>Privileged Access</t>
  </si>
  <si>
    <t>Service accounts for the 'Backup-Agent' have Domain Admin rights but don't require them.</t>
  </si>
  <si>
    <t>Over-privileged permissioning chosen during initial setup to avoid 'Access Denied' errors.</t>
  </si>
  <si>
    <t>If the backup agent is compromised, the attacker has full domain control.</t>
  </si>
  <si>
    <t>Implement Principle of Least Privilege (PoLP); restrict agent to specific backup operators group with limited file-read rights.</t>
  </si>
  <si>
    <t>NIST AC-6</t>
  </si>
  <si>
    <t>Windows Admin</t>
  </si>
  <si>
    <t>W-2026-011</t>
  </si>
  <si>
    <t>Incident Response</t>
  </si>
  <si>
    <t>The Incident Response Plan (IRP) has not been updated to include procedures for Ransomware-as-a-Service (RaaS) scenarios.</t>
  </si>
  <si>
    <t>Annual plan review was skipped due to staff turnover in the Security Office.</t>
  </si>
  <si>
    <t>Delayed response and confusion during a real breach, leading to higher ransom costs and downtime.</t>
  </si>
  <si>
    <t>Draft a Ransomware-specific playbook; conduct a cross-departmental tabletop exercise with Legal and PR.</t>
  </si>
  <si>
    <t>NIST IR-4</t>
  </si>
  <si>
    <t>CISO</t>
  </si>
  <si>
    <t>W-2026-012</t>
  </si>
  <si>
    <t>Log Management</t>
  </si>
  <si>
    <t>Firewall logs are only retained for 7 days due to SIEM storage constraints.</t>
  </si>
  <si>
    <t>Storage volume for the ELK stack was not resized to accommodate new 10Gbps traffic logs.</t>
  </si>
  <si>
    <t>Inability to perform forensic analysis on older breaches (typical dwell time is 200+ days).</t>
  </si>
  <si>
    <t>Upgrade SIEM storage capacity; implement log-rotation and cold-storage archiving to S3 for 1-year retention.</t>
  </si>
  <si>
    <t>PCI-DSS 10.7</t>
  </si>
  <si>
    <t>SOC Manager</t>
  </si>
  <si>
    <t>W-2026-013</t>
  </si>
  <si>
    <t>Governance</t>
  </si>
  <si>
    <t>Offboarding process for contractors does not include revoking physical badge access to the data center.</t>
  </si>
  <si>
    <t>HR system and Badge Access system are not integrated (Manual process failure).</t>
  </si>
  <si>
    <t>Ex-contractors retain physical access to secure facilities for months after contract end.</t>
  </si>
  <si>
    <t>Integrate the Badge System (Lenel/S2) with Active Directory to auto-disable badges when accounts expire.</t>
  </si>
  <si>
    <t>ISO 27001 A.8.1</t>
  </si>
  <si>
    <t>Physical Sec</t>
  </si>
  <si>
    <t>W-2026-014</t>
  </si>
  <si>
    <t>Vulnerability Mgmt</t>
  </si>
  <si>
    <t>Internal HR portal is running an EOL (End-of-Life) version of Apache Struts.</t>
  </si>
  <si>
    <t>Legacy application code is incompatible with newer Struts versions; requires a full rewrite.</t>
  </si>
  <si>
    <t>Vulnerability to critical RCE (Remote Code Execution) exploits targeting the HR database.</t>
  </si>
  <si>
    <t>Place the portal behind a WAF with virtual patching; schedule application modernization project for Q3.</t>
  </si>
  <si>
    <t>AppSec</t>
  </si>
  <si>
    <t>W-2026-015</t>
  </si>
  <si>
    <t>AI Governance</t>
  </si>
  <si>
    <t>Employees are inputting proprietary source code into public GenAI tools for debugging.</t>
  </si>
  <si>
    <t>Lack of an 'Acceptable Use' policy for AI and no technical blocking of AI domains.</t>
  </si>
  <si>
    <t>Loss of Intellectual Property (IP); potential for the AI model to leak secret keys to other users.</t>
  </si>
  <si>
    <t>Implement CASB (Cloud Access Security Broker) to monitor AI usage; provide internal, secure 'Private-GPT' instance.</t>
  </si>
  <si>
    <t>NIST AI RMF</t>
  </si>
  <si>
    <t>CISO / Legal</t>
  </si>
  <si>
    <t>W-2026-016</t>
  </si>
  <si>
    <t>Mobile Security</t>
  </si>
  <si>
    <t>Unmanaged personal mobile devices (BYOD) can download sensitive email attachments locally.</t>
  </si>
  <si>
    <t>Intune Mobile Application Management (MAM) policies are not enforced for 'Outlook for Mobile'.</t>
  </si>
  <si>
    <t>Data leakage if a personal phone is lost or sold without being wiped.</t>
  </si>
  <si>
    <t>Apply MAM policies to prevent 'Save-As' to local storage; mandate App-Protection-Policies for all BYOD users.</t>
  </si>
  <si>
    <t>NIST AC-19</t>
  </si>
  <si>
    <t>Intune Admin</t>
  </si>
  <si>
    <t>W-2026-017</t>
  </si>
  <si>
    <t>Threat Intel</t>
  </si>
  <si>
    <t>No automated detection for company-specific credential leaks on the 'Dark Web'.</t>
  </si>
  <si>
    <t>Absence of a Digital Risk Protection Service (DRPS) subscription.</t>
  </si>
  <si>
    <t>Employees using leaked passwords across multiple systems can be compromised before the company is aware.</t>
  </si>
  <si>
    <t>Procure a Threat Intel service (e.g., Recorded Future/Flashpoint) to alert on domain-specific credential drops.</t>
  </si>
  <si>
    <t>NIST RA-5</t>
  </si>
  <si>
    <t>SOC Lead</t>
  </si>
  <si>
    <t>W-2026-018</t>
  </si>
  <si>
    <t>Operational Risk</t>
  </si>
  <si>
    <t>Primary ISP and Secondary ISP share the same physical entry point into the building (Single conduit).</t>
  </si>
  <si>
    <t>Facilities oversight during the initial building fit-out.</t>
  </si>
  <si>
    <t>A single street-level construction event (backhoe) could cause a total internet outage.</t>
  </si>
  <si>
    <t>Contract a third ISP via a different physical path (e.g., roof-top microwave or different street entrance).</t>
  </si>
  <si>
    <t>NIST CP-4</t>
  </si>
  <si>
    <t>Network Ops</t>
  </si>
  <si>
    <t>W-2026-019</t>
  </si>
  <si>
    <t>Container Security</t>
  </si>
  <si>
    <t>Production Docker images are using 'latest' tags instead of specific immutable hashes.</t>
  </si>
  <si>
    <t>Inconsistent developer practice; lack of 'image-pinning' requirements in the CI/CD pipeline.</t>
  </si>
  <si>
    <t>Unpredictable production environments; potential to pull a compromised 'latest' image from a public repo.</t>
  </si>
  <si>
    <t>Update CI/CD to enforce Digest/SHA pinning; scan images for vulnerabilities before every deployment.</t>
  </si>
  <si>
    <t>NIST 800-190</t>
  </si>
  <si>
    <t>DevOps Eng.</t>
  </si>
  <si>
    <t>W-2026-020</t>
  </si>
  <si>
    <t>Encryption</t>
  </si>
  <si>
    <t>Internal file-share server uses SMB v1.0 which is susceptible to man-in-the-middle attacks.</t>
  </si>
  <si>
    <t>Legacy scanners require SMBv1 to send scans-to-folder.</t>
  </si>
  <si>
    <t>Susceptibility to ransomware lateral movement (e.g., WannaCry) and credential sniffing.</t>
  </si>
  <si>
    <t>Upgrade scanners or use SFTP for scan-to-folder; disable SMBv1 globally via Group Policy.</t>
  </si>
  <si>
    <t>NIST SC-8</t>
  </si>
  <si>
    <t>Infra Team</t>
  </si>
  <si>
    <t>W-2026-021</t>
  </si>
  <si>
    <t>Disaster Recovery</t>
  </si>
  <si>
    <t>Disaster Recovery site is located 5 miles from the Primary site, within the same 100-year flood zone.</t>
  </si>
  <si>
    <t>Cost-saving measures during initial DR site selection.</t>
  </si>
  <si>
    <t>A regional natural disaster (flood/hurricane) would disable both primary and backup operations.</t>
  </si>
  <si>
    <t>Migrate DR warm-standby to a different geographic region (at least 100 miles away) or a different cloud region.</t>
  </si>
  <si>
    <t>NIST CP-7</t>
  </si>
  <si>
    <t>BCP Lead</t>
  </si>
  <si>
    <t>W-2026-022</t>
  </si>
  <si>
    <t>Third Party Risk</t>
  </si>
  <si>
    <t>Critical payroll vendor has an expired SOC2 Type 2 report (expired 6 months ago).</t>
  </si>
  <si>
    <t>Vendor Risk Management (VRM) software was not configured to send renewal alerts.</t>
  </si>
  <si>
    <t>Loss of assurance regarding the vendor's internal controls over sensitive financial/employee data.</t>
  </si>
  <si>
    <t>Issue a formal security request to the vendor; perform a manual risk assessment if the audit is delayed.</t>
  </si>
  <si>
    <t>SOC2 / ISO 27001</t>
  </si>
  <si>
    <t>Risk Mgmt</t>
  </si>
  <si>
    <t>W-2026-023</t>
  </si>
  <si>
    <t>Asset Management</t>
  </si>
  <si>
    <t>The CMDB (Asset Inventory) shows a 15% discrepancy between actual and recorded server counts.</t>
  </si>
  <si>
    <t>Automated discovery tools are blocked by local firewalls on specific subnets.</t>
  </si>
  <si>
    <t>Inability to apply patches or security controls to 'Ghost' assets that are not officially managed.</t>
  </si>
  <si>
    <t>Adjust firewall rules to allow the 'ServiceNow' discovery agent; perform a manual rack audit to reconcile.</t>
  </si>
  <si>
    <t>CIS Control 1</t>
  </si>
  <si>
    <t>Asset Mgr</t>
  </si>
  <si>
    <t>W-2026-024</t>
  </si>
  <si>
    <t>Web Security</t>
  </si>
  <si>
    <t>Abandoned marketing micro-sites (e.g., 'summer-promo-2022.company.com') are still live and unpatched.</t>
  </si>
  <si>
    <t>Lack of a 'Web-Decommissioning' process once a marketing campaign ends.</t>
  </si>
  <si>
    <t>Subdomain takeover risk; these sites serve as easy entry points for attackers via old WordPress vulnerabilities.</t>
  </si>
  <si>
    <t>Scan for all company-owned subdomains; decommission all sites not found on the 'Approved Web List'.</t>
  </si>
  <si>
    <t>Webmaster</t>
  </si>
  <si>
    <t>W-2026-025</t>
  </si>
  <si>
    <t>Identity (Zero Trust)</t>
  </si>
  <si>
    <t>VPN users are granted access to the entire internal subnet rather than specific application ports.</t>
  </si>
  <si>
    <t>Legacy VPN architecture (Client-to-Site) without micro-segmentation.</t>
  </si>
  <si>
    <t>Large blast radius; a single compromised VPN account allows an attacker to scan the entire internal network.</t>
  </si>
  <si>
    <t>Transition to a Zero-Trust Network Access (ZTNA) model; enforce app-specific tunnels using Per-App VPN.</t>
  </si>
  <si>
    <t>NIST 800-207</t>
  </si>
  <si>
    <t>Network Sec</t>
  </si>
  <si>
    <t>Target Completion Date</t>
  </si>
  <si>
    <t>Risk Level</t>
  </si>
  <si>
    <t>Logic</t>
  </si>
  <si>
    <t>Typical Target Date</t>
  </si>
  <si>
    <t>Immediate danger; fix now.</t>
  </si>
  <si>
    <t>May - June 2026</t>
  </si>
  <si>
    <t>Serious exposure; fix soon.</t>
  </si>
  <si>
    <t>June - August 2026</t>
  </si>
  <si>
    <t>Important but not urgent.</t>
  </si>
  <si>
    <t>September - October 2026</t>
  </si>
  <si>
    <t>Long-Term</t>
  </si>
  <si>
    <t>Major architecture/physical changes.</t>
  </si>
  <si>
    <t>November - December 2026</t>
  </si>
  <si>
    <t>C: drive storage full (95%) prevented the Windows Update agent from staging files; clean-up scripts were not part of the standard agent health 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</si>
</sst>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1C40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E67E2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0392B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rgb="FF2C3E50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1C40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5" fontId="3" fillId="0" borderId="2" xfId="0" applyNumberFormat="1" applyFont="1" applyBorder="1" applyAlignment="1">
      <alignment horizontal="center" vertical="center" wrapText="1"/>
    </xf>
    <xf numFmtId="0" fontId="7" fillId="8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wrapText="1"/>
    </xf>
    <xf numFmtId="15" fontId="6" fillId="2" borderId="1" xfId="0" applyNumberFormat="1" applyFont="1" applyFill="1" applyBorder="1" applyAlignment="1">
      <alignment horizontal="right" wrapText="1"/>
    </xf>
    <xf numFmtId="15" fontId="2" fillId="2" borderId="1" xfId="0" applyNumberFormat="1" applyFont="1" applyFill="1" applyBorder="1"/>
    <xf numFmtId="15" fontId="5" fillId="2" borderId="1" xfId="0" applyNumberFormat="1" applyFont="1" applyFill="1" applyBorder="1" applyAlignment="1">
      <alignment horizontal="right" wrapText="1"/>
    </xf>
    <xf numFmtId="15" fontId="2" fillId="2" borderId="1" xfId="0" applyNumberFormat="1" applyFont="1" applyFill="1" applyBorder="1" applyAlignment="1">
      <alignment horizontal="right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wrapText="1"/>
    </xf>
    <xf numFmtId="0" fontId="5" fillId="1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55" zoomScaleNormal="55" workbookViewId="0">
      <pane ySplit="1" topLeftCell="A2" activePane="bottomLeft" state="frozen"/>
      <selection pane="bottomLeft" activeCell="F16" sqref="F16:G16"/>
    </sheetView>
  </sheetViews>
  <sheetFormatPr defaultRowHeight="14.4" x14ac:dyDescent="0.3"/>
  <cols>
    <col min="1" max="1" width="16" customWidth="1"/>
    <col min="2" max="2" width="18.33203125" customWidth="1"/>
    <col min="3" max="3" width="55" customWidth="1"/>
    <col min="4" max="6" width="45" customWidth="1"/>
    <col min="7" max="7" width="19.88671875" customWidth="1"/>
    <col min="8" max="8" width="20" customWidth="1"/>
    <col min="9" max="9" width="12.88671875" customWidth="1"/>
    <col min="10" max="10" width="11.33203125" customWidth="1"/>
    <col min="11" max="11" width="18.6640625" customWidth="1"/>
    <col min="12" max="12" width="14.88671875" customWidth="1"/>
  </cols>
  <sheetData>
    <row r="1" spans="1:13" ht="33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214</v>
      </c>
    </row>
    <row r="2" spans="1:13" ht="43.2" x14ac:dyDescent="0.3">
      <c r="A2" s="7" t="s">
        <v>10</v>
      </c>
      <c r="B2" s="3" t="s">
        <v>11</v>
      </c>
      <c r="C2" s="3" t="s">
        <v>12</v>
      </c>
      <c r="D2" s="3" t="s">
        <v>227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  <c r="J2" s="3" t="s">
        <v>18</v>
      </c>
      <c r="K2" s="12">
        <v>46152</v>
      </c>
    </row>
    <row r="3" spans="1:13" ht="43.2" x14ac:dyDescent="0.3">
      <c r="A3" s="7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 t="s">
        <v>27</v>
      </c>
      <c r="J3" s="1" t="s">
        <v>28</v>
      </c>
      <c r="K3" s="12">
        <v>46266</v>
      </c>
    </row>
    <row r="4" spans="1:13" ht="43.2" x14ac:dyDescent="0.3">
      <c r="A4" s="7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4" t="s">
        <v>17</v>
      </c>
      <c r="J4" s="3" t="s">
        <v>28</v>
      </c>
      <c r="K4" s="12">
        <v>46188</v>
      </c>
    </row>
    <row r="5" spans="1:13" ht="43.2" x14ac:dyDescent="0.3">
      <c r="A5" s="7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4" t="s">
        <v>17</v>
      </c>
      <c r="J5" s="3" t="s">
        <v>28</v>
      </c>
      <c r="K5" s="12">
        <v>46218</v>
      </c>
    </row>
    <row r="6" spans="1:13" ht="43.2" x14ac:dyDescent="0.3">
      <c r="A6" s="7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7" t="s">
        <v>27</v>
      </c>
      <c r="J6" s="16" t="s">
        <v>18</v>
      </c>
      <c r="K6" s="12">
        <v>46356</v>
      </c>
      <c r="L6" cm="1">
        <f t="array" aca="1" ref="L6" ca="1">+K6+K3:L7+K3+L8</f>
        <v>0</v>
      </c>
    </row>
    <row r="7" spans="1:13" ht="43.2" x14ac:dyDescent="0.3">
      <c r="A7" s="7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9" t="s">
        <v>61</v>
      </c>
      <c r="J7" s="5" t="s">
        <v>62</v>
      </c>
      <c r="K7" s="13">
        <v>46188</v>
      </c>
    </row>
    <row r="8" spans="1:13" ht="43.2" x14ac:dyDescent="0.3">
      <c r="A8" s="7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I8" s="4" t="s">
        <v>17</v>
      </c>
      <c r="J8" s="3" t="s">
        <v>71</v>
      </c>
      <c r="K8" s="14">
        <v>46218</v>
      </c>
    </row>
    <row r="9" spans="1:13" ht="43.2" x14ac:dyDescent="0.3">
      <c r="A9" s="7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2" t="s">
        <v>27</v>
      </c>
      <c r="J9" s="1" t="s">
        <v>18</v>
      </c>
      <c r="K9" s="14">
        <v>46280</v>
      </c>
    </row>
    <row r="10" spans="1:13" ht="43.2" x14ac:dyDescent="0.3">
      <c r="A10" s="7" t="s">
        <v>80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85</v>
      </c>
      <c r="G10" s="3" t="s">
        <v>86</v>
      </c>
      <c r="H10" s="3" t="s">
        <v>87</v>
      </c>
      <c r="I10" s="4" t="s">
        <v>17</v>
      </c>
      <c r="J10" s="3" t="s">
        <v>28</v>
      </c>
      <c r="K10" s="14">
        <v>46188</v>
      </c>
    </row>
    <row r="11" spans="1:13" ht="43.2" x14ac:dyDescent="0.3">
      <c r="A11" s="7" t="s">
        <v>88</v>
      </c>
      <c r="B11" s="3" t="s">
        <v>89</v>
      </c>
      <c r="C11" s="3" t="s">
        <v>90</v>
      </c>
      <c r="D11" s="3" t="s">
        <v>91</v>
      </c>
      <c r="E11" s="3" t="s">
        <v>92</v>
      </c>
      <c r="F11" s="3" t="s">
        <v>93</v>
      </c>
      <c r="G11" s="3" t="s">
        <v>94</v>
      </c>
      <c r="H11" s="3" t="s">
        <v>95</v>
      </c>
      <c r="I11" s="4" t="s">
        <v>17</v>
      </c>
      <c r="J11" s="3" t="s">
        <v>62</v>
      </c>
      <c r="K11" s="14">
        <v>46203</v>
      </c>
    </row>
    <row r="12" spans="1:13" ht="43.2" x14ac:dyDescent="0.3">
      <c r="A12" s="7" t="s">
        <v>96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2" t="s">
        <v>27</v>
      </c>
      <c r="J12" s="1" t="s">
        <v>28</v>
      </c>
      <c r="K12" s="14">
        <v>46295</v>
      </c>
    </row>
    <row r="13" spans="1:13" ht="43.2" x14ac:dyDescent="0.3">
      <c r="A13" s="7" t="s">
        <v>104</v>
      </c>
      <c r="B13" s="3" t="s">
        <v>105</v>
      </c>
      <c r="C13" s="3" t="s">
        <v>106</v>
      </c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111</v>
      </c>
      <c r="I13" s="4" t="s">
        <v>17</v>
      </c>
      <c r="J13" s="3" t="s">
        <v>62</v>
      </c>
      <c r="K13" s="14">
        <v>46218</v>
      </c>
    </row>
    <row r="14" spans="1:13" ht="43.8" thickBot="1" x14ac:dyDescent="0.35">
      <c r="A14" s="7" t="s">
        <v>112</v>
      </c>
      <c r="B14" s="1" t="s">
        <v>113</v>
      </c>
      <c r="C14" s="1" t="s">
        <v>114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2" t="s">
        <v>27</v>
      </c>
      <c r="J14" s="1" t="s">
        <v>28</v>
      </c>
      <c r="K14" s="14">
        <v>46266</v>
      </c>
    </row>
    <row r="15" spans="1:13" ht="29.4" thickBot="1" x14ac:dyDescent="0.35">
      <c r="A15" s="7" t="s">
        <v>120</v>
      </c>
      <c r="B15" s="5" t="s">
        <v>121</v>
      </c>
      <c r="C15" s="5" t="s">
        <v>122</v>
      </c>
      <c r="D15" s="5" t="s">
        <v>123</v>
      </c>
      <c r="E15" s="5" t="s">
        <v>124</v>
      </c>
      <c r="F15" s="5" t="s">
        <v>125</v>
      </c>
      <c r="G15" s="5" t="s">
        <v>15</v>
      </c>
      <c r="H15" s="5" t="s">
        <v>126</v>
      </c>
      <c r="I15" s="6" t="s">
        <v>61</v>
      </c>
      <c r="J15" s="5" t="s">
        <v>18</v>
      </c>
      <c r="K15" s="14">
        <v>46157</v>
      </c>
      <c r="M15" s="8"/>
    </row>
    <row r="16" spans="1:13" ht="43.2" x14ac:dyDescent="0.3">
      <c r="A16" s="7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134</v>
      </c>
      <c r="I16" s="4" t="s">
        <v>17</v>
      </c>
      <c r="J16" s="3" t="s">
        <v>28</v>
      </c>
      <c r="K16" s="15">
        <v>46249</v>
      </c>
    </row>
    <row r="17" spans="1:11" ht="43.2" x14ac:dyDescent="0.3">
      <c r="A17" s="7" t="s">
        <v>135</v>
      </c>
      <c r="B17" s="1" t="s">
        <v>136</v>
      </c>
      <c r="C17" s="1" t="s">
        <v>137</v>
      </c>
      <c r="D17" s="1" t="s">
        <v>138</v>
      </c>
      <c r="E17" s="1" t="s">
        <v>139</v>
      </c>
      <c r="F17" s="1" t="s">
        <v>140</v>
      </c>
      <c r="G17" s="1" t="s">
        <v>141</v>
      </c>
      <c r="H17" s="1" t="s">
        <v>142</v>
      </c>
      <c r="I17" s="2" t="s">
        <v>27</v>
      </c>
      <c r="J17" s="1" t="s">
        <v>62</v>
      </c>
      <c r="K17" s="14">
        <v>46280</v>
      </c>
    </row>
    <row r="18" spans="1:11" ht="43.2" x14ac:dyDescent="0.3">
      <c r="A18" s="7" t="s">
        <v>143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  <c r="I18" s="2" t="s">
        <v>27</v>
      </c>
      <c r="J18" s="1" t="s">
        <v>71</v>
      </c>
      <c r="K18" s="14">
        <v>46295</v>
      </c>
    </row>
    <row r="19" spans="1:11" ht="28.8" x14ac:dyDescent="0.3">
      <c r="A19" s="7" t="s">
        <v>151</v>
      </c>
      <c r="B19" s="16" t="s">
        <v>152</v>
      </c>
      <c r="C19" s="16" t="s">
        <v>153</v>
      </c>
      <c r="D19" s="16" t="s">
        <v>154</v>
      </c>
      <c r="E19" s="16" t="s">
        <v>155</v>
      </c>
      <c r="F19" s="16" t="s">
        <v>156</v>
      </c>
      <c r="G19" s="16" t="s">
        <v>157</v>
      </c>
      <c r="H19" s="16" t="s">
        <v>158</v>
      </c>
      <c r="I19" s="17" t="s">
        <v>27</v>
      </c>
      <c r="J19" s="16" t="s">
        <v>62</v>
      </c>
      <c r="K19" s="14">
        <v>46325</v>
      </c>
    </row>
    <row r="20" spans="1:11" ht="28.8" x14ac:dyDescent="0.3">
      <c r="A20" s="7" t="s">
        <v>159</v>
      </c>
      <c r="B20" s="3" t="s">
        <v>160</v>
      </c>
      <c r="C20" s="3" t="s">
        <v>161</v>
      </c>
      <c r="D20" s="3" t="s">
        <v>162</v>
      </c>
      <c r="E20" s="3" t="s">
        <v>163</v>
      </c>
      <c r="F20" s="3" t="s">
        <v>164</v>
      </c>
      <c r="G20" s="3" t="s">
        <v>165</v>
      </c>
      <c r="H20" s="3" t="s">
        <v>166</v>
      </c>
      <c r="I20" s="4" t="s">
        <v>17</v>
      </c>
      <c r="J20" s="3" t="s">
        <v>18</v>
      </c>
      <c r="K20" s="14">
        <v>46264</v>
      </c>
    </row>
    <row r="21" spans="1:11" ht="28.8" x14ac:dyDescent="0.3">
      <c r="A21" s="7" t="s">
        <v>167</v>
      </c>
      <c r="B21" s="5" t="s">
        <v>168</v>
      </c>
      <c r="C21" s="5" t="s">
        <v>169</v>
      </c>
      <c r="D21" s="5" t="s">
        <v>170</v>
      </c>
      <c r="E21" s="5" t="s">
        <v>171</v>
      </c>
      <c r="F21" s="5" t="s">
        <v>172</v>
      </c>
      <c r="G21" s="5" t="s">
        <v>173</v>
      </c>
      <c r="H21" s="5" t="s">
        <v>174</v>
      </c>
      <c r="I21" s="6" t="s">
        <v>61</v>
      </c>
      <c r="J21" s="5" t="s">
        <v>28</v>
      </c>
      <c r="K21" s="13">
        <v>46188</v>
      </c>
    </row>
    <row r="22" spans="1:11" ht="43.2" x14ac:dyDescent="0.3">
      <c r="A22" s="7" t="s">
        <v>175</v>
      </c>
      <c r="B22" s="3" t="s">
        <v>176</v>
      </c>
      <c r="C22" s="3" t="s">
        <v>177</v>
      </c>
      <c r="D22" s="3" t="s">
        <v>178</v>
      </c>
      <c r="E22" s="3" t="s">
        <v>179</v>
      </c>
      <c r="F22" s="3" t="s">
        <v>180</v>
      </c>
      <c r="G22" s="3" t="s">
        <v>181</v>
      </c>
      <c r="H22" s="3" t="s">
        <v>182</v>
      </c>
      <c r="I22" s="4" t="s">
        <v>17</v>
      </c>
      <c r="J22" s="3" t="s">
        <v>62</v>
      </c>
      <c r="K22" s="14">
        <v>46264</v>
      </c>
    </row>
    <row r="23" spans="1:11" ht="43.2" x14ac:dyDescent="0.3">
      <c r="A23" s="7" t="s">
        <v>183</v>
      </c>
      <c r="B23" s="1" t="s">
        <v>184</v>
      </c>
      <c r="C23" s="1" t="s">
        <v>185</v>
      </c>
      <c r="D23" s="1" t="s">
        <v>186</v>
      </c>
      <c r="E23" s="1" t="s">
        <v>187</v>
      </c>
      <c r="F23" s="1" t="s">
        <v>188</v>
      </c>
      <c r="G23" s="1" t="s">
        <v>189</v>
      </c>
      <c r="H23" s="1" t="s">
        <v>190</v>
      </c>
      <c r="I23" s="2" t="s">
        <v>27</v>
      </c>
      <c r="J23" s="1" t="s">
        <v>28</v>
      </c>
      <c r="K23" s="14">
        <v>46296</v>
      </c>
    </row>
    <row r="24" spans="1:11" ht="43.2" x14ac:dyDescent="0.3">
      <c r="A24" s="7" t="s">
        <v>191</v>
      </c>
      <c r="B24" s="3" t="s">
        <v>192</v>
      </c>
      <c r="C24" s="3" t="s">
        <v>193</v>
      </c>
      <c r="D24" s="3" t="s">
        <v>194</v>
      </c>
      <c r="E24" s="3" t="s">
        <v>195</v>
      </c>
      <c r="F24" s="3" t="s">
        <v>196</v>
      </c>
      <c r="G24" s="3" t="s">
        <v>197</v>
      </c>
      <c r="H24" s="3" t="s">
        <v>198</v>
      </c>
      <c r="I24" s="4" t="s">
        <v>17</v>
      </c>
      <c r="J24" s="3" t="s">
        <v>18</v>
      </c>
      <c r="K24" s="14">
        <v>46249</v>
      </c>
    </row>
    <row r="25" spans="1:11" ht="43.2" x14ac:dyDescent="0.3">
      <c r="A25" s="7" t="s">
        <v>199</v>
      </c>
      <c r="B25" s="1" t="s">
        <v>200</v>
      </c>
      <c r="C25" s="1" t="s">
        <v>201</v>
      </c>
      <c r="D25" s="1" t="s">
        <v>202</v>
      </c>
      <c r="E25" s="1" t="s">
        <v>203</v>
      </c>
      <c r="F25" s="1" t="s">
        <v>204</v>
      </c>
      <c r="G25" s="1" t="s">
        <v>15</v>
      </c>
      <c r="H25" s="1" t="s">
        <v>205</v>
      </c>
      <c r="I25" s="2" t="s">
        <v>27</v>
      </c>
      <c r="J25" s="1" t="s">
        <v>28</v>
      </c>
      <c r="K25" s="14">
        <v>46310</v>
      </c>
    </row>
    <row r="26" spans="1:11" ht="43.2" x14ac:dyDescent="0.3">
      <c r="A26" s="7" t="s">
        <v>206</v>
      </c>
      <c r="B26" s="3" t="s">
        <v>207</v>
      </c>
      <c r="C26" s="3" t="s">
        <v>208</v>
      </c>
      <c r="D26" s="3" t="s">
        <v>209</v>
      </c>
      <c r="E26" s="3" t="s">
        <v>210</v>
      </c>
      <c r="F26" s="3" t="s">
        <v>211</v>
      </c>
      <c r="G26" s="3" t="s">
        <v>212</v>
      </c>
      <c r="H26" s="3" t="s">
        <v>213</v>
      </c>
      <c r="I26" s="4" t="s">
        <v>17</v>
      </c>
      <c r="J26" s="3" t="s">
        <v>62</v>
      </c>
      <c r="K26" s="14">
        <v>46265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F731-8F69-476C-A105-369AC9D9753F}">
  <dimension ref="A1:D5"/>
  <sheetViews>
    <sheetView workbookViewId="0">
      <selection activeCell="D14" sqref="D14:D15"/>
    </sheetView>
  </sheetViews>
  <sheetFormatPr defaultRowHeight="14.4" x14ac:dyDescent="0.3"/>
  <cols>
    <col min="1" max="1" width="14.33203125" customWidth="1"/>
    <col min="2" max="2" width="35.88671875" customWidth="1"/>
    <col min="4" max="4" width="27.44140625" customWidth="1"/>
  </cols>
  <sheetData>
    <row r="1" spans="1:4" ht="27" customHeight="1" x14ac:dyDescent="0.3">
      <c r="A1" s="18" t="s">
        <v>215</v>
      </c>
      <c r="B1" s="18" t="s">
        <v>216</v>
      </c>
      <c r="C1" s="19" t="s">
        <v>217</v>
      </c>
      <c r="D1" s="18"/>
    </row>
    <row r="2" spans="1:4" ht="18.600000000000001" customHeight="1" x14ac:dyDescent="0.3">
      <c r="A2" s="20" t="s">
        <v>61</v>
      </c>
      <c r="B2" s="20" t="s">
        <v>218</v>
      </c>
      <c r="C2" s="21" t="s">
        <v>219</v>
      </c>
      <c r="D2" s="20"/>
    </row>
    <row r="3" spans="1:4" ht="19.8" customHeight="1" x14ac:dyDescent="0.3">
      <c r="A3" s="22" t="s">
        <v>17</v>
      </c>
      <c r="B3" s="22" t="s">
        <v>220</v>
      </c>
      <c r="C3" s="23" t="s">
        <v>221</v>
      </c>
      <c r="D3" s="22"/>
    </row>
    <row r="4" spans="1:4" ht="16.2" customHeight="1" x14ac:dyDescent="0.3">
      <c r="A4" s="24" t="s">
        <v>27</v>
      </c>
      <c r="B4" s="24" t="s">
        <v>222</v>
      </c>
      <c r="C4" s="25" t="s">
        <v>223</v>
      </c>
      <c r="D4" s="24"/>
    </row>
    <row r="5" spans="1:4" ht="16.8" customHeight="1" x14ac:dyDescent="0.3">
      <c r="A5" s="26" t="s">
        <v>224</v>
      </c>
      <c r="B5" s="26" t="s">
        <v>225</v>
      </c>
      <c r="C5" s="27" t="s">
        <v>226</v>
      </c>
      <c r="D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POA&amp;M</vt:lpstr>
      <vt:lpstr>Target  Time Frame 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Olimjon Khamidullaev</cp:lastModifiedBy>
  <dcterms:created xsi:type="dcterms:W3CDTF">2026-04-27T04:41:20Z</dcterms:created>
  <dcterms:modified xsi:type="dcterms:W3CDTF">2026-04-27T16:50:33Z</dcterms:modified>
</cp:coreProperties>
</file>